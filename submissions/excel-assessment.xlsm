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aidy\Workspace\MapUp-Data-Assessment-F\"/>
    </mc:Choice>
  </mc:AlternateContent>
  <xr:revisionPtr revIDLastSave="0" documentId="13_ncr:1_{0DE872F5-5BF5-422D-8634-576A6F92EFD8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/>
  <c r="C28" i="20"/>
  <c r="C29" i="20"/>
  <c r="C30" i="20"/>
  <c r="C31" i="20"/>
  <c r="C32" i="20"/>
  <c r="C33" i="20"/>
  <c r="C34" i="20"/>
  <c r="C24" i="20"/>
  <c r="C25" i="20"/>
  <c r="C26" i="20"/>
  <c r="C27" i="20"/>
  <c r="C23" i="20"/>
  <c r="C22" i="19" a="1"/>
  <c r="C22" i="19" s="1"/>
  <c r="C29" i="18"/>
  <c r="D29" i="18"/>
  <c r="E29" i="18"/>
  <c r="F29" i="18"/>
  <c r="C30" i="18"/>
  <c r="D30" i="18"/>
  <c r="E30" i="18"/>
  <c r="F30" i="18"/>
  <c r="B30" i="18"/>
  <c r="F7" i="18"/>
  <c r="F28" i="18" s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28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8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8" i="18" s="1"/>
  <c r="B7" i="18"/>
  <c r="B6" i="18"/>
  <c r="B29" i="18" s="1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C5" i="15"/>
  <c r="B28" i="18" l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<sst xmlns="http://schemas.openxmlformats.org/spreadsheetml/2006/main" count="406" uniqueCount="183">
  <si>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</si>
  <si>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</si>
  <si>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</si>
  <si>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</si>
  <si>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</si>
  <si>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</si>
  <si>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</si>
  <si>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</si>
  <si>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</si>
  <si>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</si>
  <si>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</si>
  <si>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</si>
  <si>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</si>
  <si>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</si>
  <si>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</si>
  <si>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</si>
  <si>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</si>
  <si>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</si>
  <si>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</si>
  <si>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</si>
  <si>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</si>
  <si>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</si>
  <si>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</si>
  <si>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</si>
  <si>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</si>
  <si>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</si>
  <si>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</si>
  <si>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</si>
  <si>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</si>
  <si>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</si>
  <si>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</si>
  <si>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</si>
  <si>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</si>
  <si>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</si>
  <si>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</si>
  <si>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</si>
  <si>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</si>
  <si>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</si>
  <si>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</si>
  <si>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</si>
  <si>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</si>
  <si>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</si>
  <si>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</si>
  <si>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</si>
  <si>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</si>
  <si>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</si>
  <si>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</si>
  <si>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</si>
  <si>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</si>
  <si>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</si>
  <si>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</si>
  <si>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</si>
  <si>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</si>
  <si>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</si>
  <si>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</si>
  <si>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</si>
  <si>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</si>
  <si>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</si>
  <si>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</si>
  <si>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</si>
  <si>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</si>
  <si>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</si>
  <si>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</si>
  <si>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</si>
  <si>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</si>
  <si>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</si>
  <si>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</si>
  <si>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</si>
  <si>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</si>
  <si>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</si>
  <si>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</si>
  <si>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</si>
  <si>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</si>
  <si>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</si>
  <si>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</si>
  <si>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</si>
  <si>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</si>
  <si>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</si>
  <si>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</si>
  <si>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</si>
  <si>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</si>
  <si>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</si>
  <si>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</si>
  <si>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</si>
  <si>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</si>
  <si>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</si>
  <si>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</si>
  <si>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</si>
  <si>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</si>
  <si>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</si>
  <si>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</si>
  <si>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</si>
  <si>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</si>
  <si>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</si>
  <si>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</si>
  <si>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</si>
  <si>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</si>
  <si>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</si>
  <si>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</si>
  <si>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</si>
  <si>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</si>
  <si>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</si>
  <si>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</si>
  <si>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</si>
  <si>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</si>
  <si>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</si>
  <si>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</si>
  <si>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</si>
  <si>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</si>
  <si>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</si>
  <si>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</si>
  <si>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</si>
  <si>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</si>
  <si>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</si>
  <si>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</si>
  <si>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</si>
  <si>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</si>
  <si>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</si>
  <si>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</si>
  <si>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</si>
  <si>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</si>
  <si>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</si>
  <si>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</si>
  <si>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</si>
  <si>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</si>
  <si>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</si>
  <si>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</si>
  <si>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</si>
  <si>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</si>
  <si>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</si>
  <si>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</si>
  <si>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</si>
  <si>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</si>
  <si>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</si>
  <si>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</si>
  <si>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</si>
  <si>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</si>
  <si>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</si>
  <si>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</si>
  <si>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</si>
  <si>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</si>
  <si>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</si>
  <si>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</si>
  <si>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</si>
  <si>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</si>
  <si>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</si>
  <si>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</si>
  <si>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</si>
  <si>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</si>
  <si>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</si>
  <si>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</si>
  <si>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</si>
  <si>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</si>
  <si>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</si>
  <si>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</si>
  <si>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</si>
  <si>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</si>
  <si>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</si>
  <si>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</si>
  <si>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</si>
  <si>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</si>
  <si>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</si>
  <si>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</si>
  <si>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</si>
  <si>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</si>
  <si>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</si>
  <si>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</si>
  <si>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</si>
  <si>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</si>
  <si>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</si>
  <si>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</si>
  <si>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</si>
  <si>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</si>
  <si>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</si>
  <si>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</si>
  <si>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</si>
  <si>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</si>
  <si>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Used excel inbuild functionality of 'text to columns' </t>
  </si>
  <si>
    <t>select all the cells fron A16:A54. Choose dlimited and click next. Choose others and specify dlimited by '-'. Select destination range as B16:F16. Click on finish.</t>
  </si>
  <si>
    <t>SUM with IFERROR</t>
  </si>
  <si>
    <t>use IFERROR function to substitute all the N/A values with 20. then pass this into sum function to calculate the sum. Finally press cltr+shift+enter to calculate the sum.</t>
  </si>
  <si>
    <t>Index match with Vlookup</t>
  </si>
  <si>
    <t>We first use vlookup to find the Name in Table_B from corresponding values in name_1 &amp; name_2 from Table_C. Then pass these values as row_num and col_num in the Index-Match functions to find the intersecting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</si>
</sst>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P1" zoomScale="115" zoomScaleNormal="115" workbookViewId="0">
      <pane ySplit="1" topLeftCell="A23" activePane="bottomLeft" state="frozen"/>
      <selection pane="bottomLeft" activeCell="P40" sqref="P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4" priority="6"/>
  </conditionalFormatting>
  <conditionalFormatting sqref="B1:B1048576">
    <cfRule type="duplicateValues" dxfId="3" priority="5"/>
  </conditionalFormatting>
  <conditionalFormatting sqref="J2">
    <cfRule type="cellIs" dxfId="2" priority="4" operator="equal">
      <formula>-1</formula>
    </cfRule>
  </conditionalFormatting>
  <conditionalFormatting sqref="A1:X40">
    <cfRule type="cellIs" dxfId="1" priority="1" operator="equal">
      <formula>0</formula>
    </cfRule>
    <cfRule type="cellIs" priority="2" operator="equal">
      <formula>0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SUMIF(Dataset!H:H,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B29" sqref="B29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VLOOKUP($A6, Dataset!$1:$1048576, 7, FALSE)</f>
        <v>2.7</v>
      </c>
      <c r="C6" s="11">
        <f>VLOOKUP($A6, Dataset!$1:$1048576, 14, FALSE)</f>
        <v>7.6</v>
      </c>
      <c r="D6" s="11">
        <f>VLOOKUP($A6, Dataset!$1:$1048576, 18, FALSE)</f>
        <v>4.2</v>
      </c>
      <c r="E6" s="11">
        <f>VLOOKUP($A6, Dataset!$1:$1048576, 20, FALSE)</f>
        <v>8.9</v>
      </c>
      <c r="F6" s="11">
        <f>VLOOKUP($A6, Dataset!$1:$1048576, 22, FALSE)</f>
        <v>4.2</v>
      </c>
    </row>
    <row r="7" spans="1:7" ht="14.4" x14ac:dyDescent="0.3">
      <c r="A7" s="7" t="s">
        <v>4</v>
      </c>
      <c r="B7" s="11">
        <f>VLOOKUP($A7, Dataset!$1:$1048576, 7, FALSE)</f>
        <v>2.7</v>
      </c>
      <c r="C7" s="11">
        <f>VLOOKUP($A7, Dataset!$1:$1048576, 14, FALSE)</f>
        <v>7.6</v>
      </c>
      <c r="D7" s="11">
        <f>VLOOKUP($A7, Dataset!$1:$1048576, 18, FALSE)</f>
        <v>4.2</v>
      </c>
      <c r="E7" s="11">
        <f>VLOOKUP($A7, Dataset!$1:$1048576, 20, FALSE)</f>
        <v>8.9</v>
      </c>
      <c r="F7" s="11">
        <f>VLOOKUP($A7, Dataset!$1:$1048576, 22, FALSE)</f>
        <v>4.2</v>
      </c>
    </row>
    <row r="8" spans="1:7" ht="14.4" x14ac:dyDescent="0.3">
      <c r="A8" s="7" t="s">
        <v>7</v>
      </c>
      <c r="B8" s="11">
        <f>VLOOKUP(A8, Dataset!$1:$1048576, 7, FALSE)</f>
        <v>3.6</v>
      </c>
      <c r="C8" s="11">
        <f>VLOOKUP($A8, Dataset!$1:$1048576, 14, FALSE)</f>
        <v>11.1</v>
      </c>
      <c r="D8" s="11">
        <f>VLOOKUP($A8, Dataset!$1:$1048576, 18, FALSE)</f>
        <v>5.8</v>
      </c>
      <c r="E8" s="11">
        <f>VLOOKUP($A8, Dataset!$1:$1048576, 20, FALSE)</f>
        <v>12.2</v>
      </c>
      <c r="F8" s="11">
        <f>VLOOKUP($A8, Dataset!$1:$1048576, 22, FALSE)</f>
        <v>5.8</v>
      </c>
    </row>
    <row r="9" spans="1:7" ht="14.4" x14ac:dyDescent="0.3">
      <c r="A9" s="7" t="s">
        <v>8</v>
      </c>
      <c r="B9" s="11">
        <f>VLOOKUP(A9, Dataset!$1:$1048576, 7, FALSE)</f>
        <v>4.9000000000000004</v>
      </c>
      <c r="C9" s="11">
        <f>VLOOKUP($A9, Dataset!$1:$1048576, 14, FALSE)</f>
        <v>13.3</v>
      </c>
      <c r="D9" s="11">
        <f>VLOOKUP($A9, Dataset!$1:$1048576, 18, FALSE)</f>
        <v>8.1</v>
      </c>
      <c r="E9" s="11">
        <f>VLOOKUP($A9, Dataset!$1:$1048576, 20, FALSE)</f>
        <v>17</v>
      </c>
      <c r="F9" s="11">
        <f>VLOOKUP($A9, Dataset!$1:$1048576, 22, FALSE)</f>
        <v>8.1</v>
      </c>
    </row>
    <row r="10" spans="1:7" ht="14.4" x14ac:dyDescent="0.3">
      <c r="A10" s="7" t="s">
        <v>11</v>
      </c>
      <c r="B10" s="11">
        <f>VLOOKUP(A10, Dataset!$1:$1048576, 7, FALSE)</f>
        <v>9.4</v>
      </c>
      <c r="C10" s="11">
        <f>VLOOKUP($A10, Dataset!$1:$1048576, 14, FALSE)</f>
        <v>28.3</v>
      </c>
      <c r="D10" s="11">
        <f>VLOOKUP($A10, Dataset!$1:$1048576, 18, FALSE)</f>
        <v>16.100000000000001</v>
      </c>
      <c r="E10" s="11">
        <f>VLOOKUP($A10, Dataset!$1:$1048576, 20, FALSE)</f>
        <v>32.799999999999997</v>
      </c>
      <c r="F10" s="11">
        <f>VLOOKUP($A10, Dataset!$1:$1048576, 22, FALSE)</f>
        <v>16.100000000000001</v>
      </c>
    </row>
    <row r="11" spans="1:7" ht="14.4" x14ac:dyDescent="0.3">
      <c r="A11" s="7" t="s">
        <v>12</v>
      </c>
      <c r="B11" s="11">
        <f>VLOOKUP(A11, Dataset!$1:$1048576, 7, FALSE)</f>
        <v>11.6</v>
      </c>
      <c r="C11" s="11">
        <f>VLOOKUP($A11, Dataset!$1:$1048576, 14, FALSE)</f>
        <v>35.200000000000003</v>
      </c>
      <c r="D11" s="11">
        <f>VLOOKUP($A11, Dataset!$1:$1048576, 18, FALSE)</f>
        <v>21.3</v>
      </c>
      <c r="E11" s="11">
        <f>VLOOKUP($A11, Dataset!$1:$1048576, 20, FALSE)</f>
        <v>43</v>
      </c>
      <c r="F11" s="11">
        <f>VLOOKUP($A11, Dataset!$1:$1048576, 22, FALSE)</f>
        <v>21.3</v>
      </c>
    </row>
    <row r="12" spans="1:7" ht="14.4" x14ac:dyDescent="0.3">
      <c r="A12" s="7" t="s">
        <v>14</v>
      </c>
      <c r="B12" s="11">
        <f>VLOOKUP(A12, Dataset!$1:$1048576, 7, FALSE)</f>
        <v>18.399999999999999</v>
      </c>
      <c r="C12" s="11">
        <f>VLOOKUP($A12, Dataset!$1:$1048576, 14, FALSE)</f>
        <v>55.6</v>
      </c>
      <c r="D12" s="11">
        <f>VLOOKUP($A12, Dataset!$1:$1048576, 18, FALSE)</f>
        <v>33.799999999999997</v>
      </c>
      <c r="E12" s="11">
        <f>VLOOKUP($A12, Dataset!$1:$1048576, 20, FALSE)</f>
        <v>67.900000000000006</v>
      </c>
      <c r="F12" s="11">
        <f>VLOOKUP($A12, Dataset!$1:$1048576, 22, FALSE)</f>
        <v>33.799999999999997</v>
      </c>
    </row>
    <row r="13" spans="1:7" ht="14.4" x14ac:dyDescent="0.3">
      <c r="A13" s="7" t="s">
        <v>15</v>
      </c>
      <c r="B13" s="11">
        <f>VLOOKUP(A13, Dataset!$1:$1048576, 7, FALSE)</f>
        <v>0</v>
      </c>
      <c r="C13" s="11">
        <f>VLOOKUP($A13, Dataset!$1:$1048576, 14, FALSE)</f>
        <v>0</v>
      </c>
      <c r="D13" s="11">
        <f>VLOOKUP($A13, Dataset!$1:$1048576, 18, FALSE)</f>
        <v>0</v>
      </c>
      <c r="E13" s="11">
        <f>VLOOKUP($A13, Dataset!$1:$1048576, 20, FALSE)</f>
        <v>0</v>
      </c>
      <c r="F13" s="11">
        <f>VLOOKUP($A13, Dataset!$1:$1048576, 22, FALSE)</f>
        <v>0</v>
      </c>
    </row>
    <row r="14" spans="1:7" ht="14.4" x14ac:dyDescent="0.3">
      <c r="A14" s="7" t="s">
        <v>16</v>
      </c>
      <c r="B14" s="11">
        <f>VLOOKUP(A14, Dataset!$1:$1048576, 7, FALSE)</f>
        <v>21.9</v>
      </c>
      <c r="C14" s="11">
        <f>VLOOKUP($A14, Dataset!$1:$1048576, 14, FALSE)</f>
        <v>61.5</v>
      </c>
      <c r="D14" s="11">
        <f>VLOOKUP($A14, Dataset!$1:$1048576, 18, FALSE)</f>
        <v>40.1</v>
      </c>
      <c r="E14" s="11">
        <f>VLOOKUP($A14, Dataset!$1:$1048576, 20, FALSE)</f>
        <v>76.599999999999994</v>
      </c>
      <c r="F14" s="11">
        <f>VLOOKUP($A14, Dataset!$1:$1048576, 22, FALSE)</f>
        <v>40.1</v>
      </c>
    </row>
    <row r="15" spans="1:7" ht="14.4" x14ac:dyDescent="0.3">
      <c r="A15" s="7" t="s">
        <v>18</v>
      </c>
      <c r="B15" s="11">
        <f>VLOOKUP(A15, Dataset!$1:$1048576, 7, FALSE)</f>
        <v>26.8</v>
      </c>
      <c r="C15" s="11">
        <f>VLOOKUP($A15, Dataset!$1:$1048576, 14, FALSE)</f>
        <v>79.599999999999994</v>
      </c>
      <c r="D15" s="11">
        <f>VLOOKUP($A15, Dataset!$1:$1048576, 18, FALSE)</f>
        <v>47.9</v>
      </c>
      <c r="E15" s="11">
        <f>VLOOKUP($A15, Dataset!$1:$1048576, 20, FALSE)</f>
        <v>96.8</v>
      </c>
      <c r="F15" s="11">
        <f>VLOOKUP($A15, Dataset!$1:$1048576, 22, FALSE)</f>
        <v>47.9</v>
      </c>
    </row>
    <row r="16" spans="1:7" ht="14.4" x14ac:dyDescent="0.3">
      <c r="A16" s="7" t="s">
        <v>20</v>
      </c>
      <c r="B16" s="11">
        <f>VLOOKUP(A16, Dataset!$1:$1048576, 7, FALSE)</f>
        <v>28.5</v>
      </c>
      <c r="C16" s="11">
        <f>VLOOKUP($A16, Dataset!$1:$1048576, 14, FALSE)</f>
        <v>85.4</v>
      </c>
      <c r="D16" s="11">
        <f>VLOOKUP($A16, Dataset!$1:$1048576, 18, FALSE)</f>
        <v>52.3</v>
      </c>
      <c r="E16" s="11">
        <f>VLOOKUP($A16, Dataset!$1:$1048576, 20, FALSE)</f>
        <v>106.1</v>
      </c>
      <c r="F16" s="11">
        <f>VLOOKUP($A16, Dataset!$1:$1048576, 22, FALSE)</f>
        <v>52.3</v>
      </c>
    </row>
    <row r="17" spans="1:6" ht="14.4" x14ac:dyDescent="0.3">
      <c r="A17" s="7" t="s">
        <v>22</v>
      </c>
      <c r="B17" s="11">
        <f>VLOOKUP(A17, Dataset!$1:$1048576, 7, FALSE)</f>
        <v>30.7</v>
      </c>
      <c r="C17" s="11">
        <f>VLOOKUP($A17, Dataset!$1:$1048576, 14, FALSE)</f>
        <v>92.1</v>
      </c>
      <c r="D17" s="11">
        <f>VLOOKUP($A17, Dataset!$1:$1048576, 18, FALSE)</f>
        <v>57</v>
      </c>
      <c r="E17" s="11">
        <f>VLOOKUP($A17, Dataset!$1:$1048576, 20, FALSE)</f>
        <v>115.1</v>
      </c>
      <c r="F17" s="11">
        <f>VLOOKUP($A17, Dataset!$1:$1048576, 22, FALSE)</f>
        <v>57</v>
      </c>
    </row>
    <row r="18" spans="1:6" ht="14.4" x14ac:dyDescent="0.3">
      <c r="A18" s="7" t="s">
        <v>23</v>
      </c>
      <c r="B18" s="11">
        <f>VLOOKUP(A18, Dataset!$1:$1048576, 7, FALSE)</f>
        <v>33.799999999999997</v>
      </c>
      <c r="C18" s="11">
        <f>VLOOKUP($A18, Dataset!$1:$1048576, 14, FALSE)</f>
        <v>101.3</v>
      </c>
      <c r="D18" s="11">
        <f>VLOOKUP($A18, Dataset!$1:$1048576, 18, FALSE)</f>
        <v>61.4</v>
      </c>
      <c r="E18" s="11">
        <f>VLOOKUP($A18, Dataset!$1:$1048576, 20, FALSE)</f>
        <v>124.4</v>
      </c>
      <c r="F18" s="11">
        <f>VLOOKUP($A18, Dataset!$1:$1048576, 22, FALSE)</f>
        <v>61.4</v>
      </c>
    </row>
    <row r="19" spans="1:6" ht="14.4" x14ac:dyDescent="0.3">
      <c r="A19" s="7" t="s">
        <v>24</v>
      </c>
      <c r="B19" s="11">
        <f>VLOOKUP(A19, Dataset!$1:$1048576, 7, FALSE)</f>
        <v>34.700000000000003</v>
      </c>
      <c r="C19" s="11">
        <f>VLOOKUP($A19, Dataset!$1:$1048576, 14, FALSE)</f>
        <v>106.1</v>
      </c>
      <c r="D19" s="11">
        <f>VLOOKUP($A19, Dataset!$1:$1048576, 18, FALSE)</f>
        <v>63.6</v>
      </c>
      <c r="E19" s="11">
        <f>VLOOKUP($A19, Dataset!$1:$1048576, 20, FALSE)</f>
        <v>128.6</v>
      </c>
      <c r="F19" s="11">
        <f>VLOOKUP($A19, Dataset!$1:$1048576, 22, FALSE)</f>
        <v>63.6</v>
      </c>
    </row>
    <row r="20" spans="1:6" ht="14.4" x14ac:dyDescent="0.3">
      <c r="A20" s="7" t="s">
        <v>28</v>
      </c>
      <c r="B20" s="11">
        <f>VLOOKUP(A20, Dataset!$1:$1048576, 7, FALSE)</f>
        <v>0</v>
      </c>
      <c r="C20" s="11">
        <f>VLOOKUP($A20, Dataset!$1:$1048576, 14, FALSE)</f>
        <v>0</v>
      </c>
      <c r="D20" s="11">
        <f>VLOOKUP($A20, Dataset!$1:$1048576, 18, FALSE)</f>
        <v>0</v>
      </c>
      <c r="E20" s="11">
        <f>VLOOKUP($A20, Dataset!$1:$1048576, 20, FALSE)</f>
        <v>0</v>
      </c>
      <c r="F20" s="11">
        <f>VLOOKUP($A20, Dataset!$1:$1048576, 22, FALSE)</f>
        <v>0</v>
      </c>
    </row>
    <row r="21" spans="1:6" ht="14.4" x14ac:dyDescent="0.3">
      <c r="A21" s="7" t="s">
        <v>57</v>
      </c>
      <c r="B21" s="11">
        <f>VLOOKUP(A21, Dataset!$1:$1048576, 7, FALSE)</f>
        <v>41.3</v>
      </c>
      <c r="C21" s="11">
        <f>VLOOKUP($A21, Dataset!$1:$1048576, 14, FALSE)</f>
        <v>124.4</v>
      </c>
      <c r="D21" s="11">
        <f>VLOOKUP($A21, Dataset!$1:$1048576, 18, FALSE)</f>
        <v>75</v>
      </c>
      <c r="E21" s="11">
        <f>VLOOKUP($A21, Dataset!$1:$1048576, 20, FALSE)</f>
        <v>151.5</v>
      </c>
      <c r="F21" s="11">
        <f>VLOOKUP($A21, Dataset!$1:$1048576, 22, FALSE)</f>
        <v>75</v>
      </c>
    </row>
    <row r="22" spans="1:6" ht="14.4" x14ac:dyDescent="0.3">
      <c r="A22" s="7" t="s">
        <v>58</v>
      </c>
      <c r="B22" s="11">
        <f>VLOOKUP(A22, Dataset!$1:$1048576, 7, FALSE)</f>
        <v>-1</v>
      </c>
      <c r="C22" s="11">
        <f>VLOOKUP($A22, Dataset!$1:$1048576, 14, FALSE)</f>
        <v>-1</v>
      </c>
      <c r="D22" s="11">
        <f>VLOOKUP($A22, Dataset!$1:$1048576, 18, FALSE)</f>
        <v>-1</v>
      </c>
      <c r="E22" s="11">
        <f>VLOOKUP($A22, Dataset!$1:$1048576, 20, FALSE)</f>
        <v>-1</v>
      </c>
      <c r="F22" s="11">
        <f>VLOOKUP($A22, Dataset!$1:$1048576, 22, FALSE)</f>
        <v>-1</v>
      </c>
    </row>
    <row r="23" spans="1:6" ht="14.4" x14ac:dyDescent="0.3">
      <c r="A23" s="7" t="s">
        <v>31</v>
      </c>
      <c r="B23" s="11">
        <f>VLOOKUP(A23, Dataset!$1:$1048576, 7, FALSE)</f>
        <v>45</v>
      </c>
      <c r="C23" s="11">
        <f>VLOOKUP($A23, Dataset!$1:$1048576, 14, FALSE)</f>
        <v>133.4</v>
      </c>
      <c r="D23" s="11">
        <f>VLOOKUP($A23, Dataset!$1:$1048576, 18, FALSE)</f>
        <v>79.400000000000006</v>
      </c>
      <c r="E23" s="11">
        <f>VLOOKUP($A23, Dataset!$1:$1048576, 20, FALSE)</f>
        <v>160.9</v>
      </c>
      <c r="F23" s="11">
        <f>VLOOKUP($A23, Dataset!$1:$1048576, 22, FALSE)</f>
        <v>79.400000000000006</v>
      </c>
    </row>
    <row r="24" spans="1:6" ht="14.4" x14ac:dyDescent="0.3">
      <c r="A24" s="7" t="s">
        <v>32</v>
      </c>
      <c r="B24" s="11">
        <f>VLOOKUP(A24, Dataset!$1:$1048576, 7, FALSE)</f>
        <v>-1</v>
      </c>
      <c r="C24" s="11">
        <f>VLOOKUP($A24, Dataset!$1:$1048576, 14, FALSE)</f>
        <v>-1</v>
      </c>
      <c r="D24" s="11">
        <f>VLOOKUP($A24, Dataset!$1:$1048576, 18, FALSE)</f>
        <v>-1</v>
      </c>
      <c r="E24" s="11">
        <f>VLOOKUP($A24, Dataset!$1:$1048576, 20, FALSE)</f>
        <v>-1</v>
      </c>
      <c r="F24" s="11">
        <f>VLOOKUP($A24, Dataset!$1:$1048576, 22, FALSE)</f>
        <v>-1</v>
      </c>
    </row>
    <row r="25" spans="1:6" ht="14.4" x14ac:dyDescent="0.3">
      <c r="A25" s="7" t="s">
        <v>34</v>
      </c>
      <c r="B25" s="11">
        <f>VLOOKUP(A25, Dataset!$1:$1048576, 7, FALSE)</f>
        <v>43.3</v>
      </c>
      <c r="C25" s="11">
        <f>VLOOKUP($A25, Dataset!$1:$1048576, 14, FALSE)</f>
        <v>128.6</v>
      </c>
      <c r="D25" s="11">
        <f>VLOOKUP($A25, Dataset!$1:$1048576, 18, FALSE)</f>
        <v>79.400000000000006</v>
      </c>
      <c r="E25" s="11">
        <f>VLOOKUP($A25, Dataset!$1:$1048576, 20, FALSE)</f>
        <v>160.9</v>
      </c>
      <c r="F25" s="11">
        <f>VLOOKUP($A25, Dataset!$1:$1048576, 22, FALSE)</f>
        <v>79.400000000000006</v>
      </c>
    </row>
    <row r="26" spans="1:6" ht="14.4" x14ac:dyDescent="0.3">
      <c r="A26" s="7" t="s">
        <v>37</v>
      </c>
      <c r="B26" s="11">
        <f>VLOOKUP(A26, Dataset!$1:$1048576, 7, FALSE)</f>
        <v>49.1</v>
      </c>
      <c r="C26" s="11">
        <f>VLOOKUP($A26, Dataset!$1:$1048576, 14, FALSE)</f>
        <v>146.80000000000001</v>
      </c>
      <c r="D26" s="11">
        <f>VLOOKUP($A26, Dataset!$1:$1048576, 18, FALSE)</f>
        <v>90.9</v>
      </c>
      <c r="E26" s="11">
        <f>VLOOKUP($A26, Dataset!$1:$1048576, 20, FALSE)</f>
        <v>183.5</v>
      </c>
      <c r="F26" s="11">
        <f>VLOOKUP($A26, Dataset!$1:$1048576, 22, FALSE)</f>
        <v>90.9</v>
      </c>
    </row>
    <row r="27" spans="1:6" ht="14.4" x14ac:dyDescent="0.3">
      <c r="A27" s="7" t="s">
        <v>39</v>
      </c>
      <c r="B27" s="11">
        <f>VLOOKUP(A27, Dataset!$1:$1048576, 7, FALSE)</f>
        <v>51.8</v>
      </c>
      <c r="C27" s="11">
        <f>VLOOKUP($A27, Dataset!$1:$1048576, 14, FALSE)</f>
        <v>156.4</v>
      </c>
      <c r="D27" s="11">
        <f>VLOOKUP($A27, Dataset!$1:$1048576, 18, FALSE)</f>
        <v>93.1</v>
      </c>
      <c r="E27" s="11">
        <f>VLOOKUP($A27, Dataset!$1:$1048576, 20, FALSE)</f>
        <v>188.1</v>
      </c>
      <c r="F27" s="11">
        <f>VLOOKUP($A27, Dataset!$1:$1048576, 22, 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153</v>
      </c>
      <c r="B6" s="39" t="s">
        <v>178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2" t="s">
        <v>181</v>
      </c>
    </row>
    <row r="5" spans="1:14" ht="18" x14ac:dyDescent="0.35">
      <c r="A5" s="42" t="s">
        <v>153</v>
      </c>
      <c r="B5" s="1"/>
      <c r="C5" s="2" t="s">
        <v>182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INDEX($A$9:$J$18,MATCH(VLOOKUP(A23,$M$9:$N$18,2,FALSE),$A$9:$A$18,0),MATCH(VLOOKUP($B$23,$M$9:$N$18,2,FALSE),$A$9:$J$9,0))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INDEX($A$9:$J$18,MATCH(VLOOKUP(A24,$M$9:$N$18,2,FALSE),$A$9:$A$18,0),MATCH(VLOOKUP($B$23,$M$9:$N$18,2,FALSE),$A$9:$J$9,0))</f>
        <v>95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95</v>
      </c>
    </row>
    <row r="27" spans="1:14" ht="14.4" x14ac:dyDescent="0.3">
      <c r="A27" s="7">
        <v>10108</v>
      </c>
      <c r="B27" s="11">
        <v>10110</v>
      </c>
      <c r="C27" s="43">
        <f t="shared" si="0"/>
        <v>160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90</v>
      </c>
    </row>
    <row r="30" spans="1:14" ht="14.4" x14ac:dyDescent="0.3">
      <c r="A30" s="7">
        <v>10102</v>
      </c>
      <c r="B30" s="11">
        <v>10106</v>
      </c>
      <c r="C30" s="43">
        <f t="shared" si="0"/>
        <v>-1</v>
      </c>
    </row>
    <row r="31" spans="1:14" ht="14.4" x14ac:dyDescent="0.3">
      <c r="A31" s="7">
        <v>10110</v>
      </c>
      <c r="B31" s="11">
        <v>10114</v>
      </c>
      <c r="C31" s="43">
        <f t="shared" si="0"/>
        <v>210</v>
      </c>
    </row>
    <row r="32" spans="1:14" ht="14.4" x14ac:dyDescent="0.3">
      <c r="A32" s="7">
        <v>10104</v>
      </c>
      <c r="B32" s="11">
        <v>10106</v>
      </c>
      <c r="C32" s="43">
        <f t="shared" si="0"/>
        <v>-1</v>
      </c>
    </row>
    <row r="33" spans="1:3" ht="14.4" x14ac:dyDescent="0.3">
      <c r="A33" s="7">
        <v>10110</v>
      </c>
      <c r="B33" s="11">
        <v>10112</v>
      </c>
      <c r="C33" s="43">
        <f t="shared" si="0"/>
        <v>210</v>
      </c>
    </row>
    <row r="34" spans="1:3" ht="14.4" x14ac:dyDescent="0.3">
      <c r="A34" s="7">
        <v>10100</v>
      </c>
      <c r="B34" s="11">
        <v>10114</v>
      </c>
      <c r="C34" s="43">
        <f t="shared" si="0"/>
        <v>95</v>
      </c>
    </row>
    <row r="35" spans="1:3" ht="14.4" x14ac:dyDescent="0.3">
      <c r="A35" s="8">
        <v>10112</v>
      </c>
      <c r="B35" s="12">
        <v>10116</v>
      </c>
      <c r="C35" s="43">
        <f>INDEX($A$9:$J$18,MATCH(VLOOKUP(A35,$M$9:$N$18,2,FALSE),$A$9:$A$18,0),MATCH(VLOOKUP($B$23,$M$9:$N$18,2,FALSE),$A$9:$J$9,0))</f>
        <v>325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vasanth vaidya</cp:lastModifiedBy>
  <dcterms:created xsi:type="dcterms:W3CDTF">2015-02-10T17:33:11Z</dcterms:created>
  <dcterms:modified xsi:type="dcterms:W3CDTF">2023-12-09T21:43:34Z</dcterms:modified>
</cp:coreProperties>
</file>